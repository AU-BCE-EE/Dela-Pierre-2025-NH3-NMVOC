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775281/Documents/PhD/Flavia Experiment/"/>
    </mc:Choice>
  </mc:AlternateContent>
  <xr:revisionPtr revIDLastSave="0" documentId="13_ncr:1_{BB603903-8137-104C-8D55-1F1D08376CEE}" xr6:coauthVersionLast="47" xr6:coauthVersionMax="47" xr10:uidLastSave="{00000000-0000-0000-0000-000000000000}"/>
  <bookViews>
    <workbookView xWindow="-51200" yWindow="500" windowWidth="51200" windowHeight="28300" xr2:uid="{DB741899-E9CD-D14C-9CAE-E1BDF1CF6C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L4" i="1"/>
  <c r="M4" i="1" s="1"/>
  <c r="L5" i="1"/>
  <c r="N5" i="1" s="1"/>
  <c r="L3" i="1"/>
  <c r="M3" i="1" s="1"/>
  <c r="N4" i="1" l="1"/>
  <c r="N3" i="1"/>
  <c r="O3" i="1" s="1"/>
  <c r="M5" i="1"/>
  <c r="P4" i="1" l="1"/>
  <c r="P5" i="1"/>
  <c r="P3" i="1"/>
</calcChain>
</file>

<file path=xl/sharedStrings.xml><?xml version="1.0" encoding="utf-8"?>
<sst xmlns="http://schemas.openxmlformats.org/spreadsheetml/2006/main" count="40" uniqueCount="36">
  <si>
    <t>S.No</t>
  </si>
  <si>
    <t>Date</t>
  </si>
  <si>
    <t>Experiment</t>
  </si>
  <si>
    <t>Location</t>
  </si>
  <si>
    <t>Replicate</t>
  </si>
  <si>
    <t>Tray Id</t>
  </si>
  <si>
    <t>Tray weight [g]</t>
  </si>
  <si>
    <t>Foulum</t>
  </si>
  <si>
    <t>Tray + Fresh soil [g]</t>
  </si>
  <si>
    <t>Fresh soil [g]</t>
  </si>
  <si>
    <t>Dry soil [g]</t>
  </si>
  <si>
    <t xml:space="preserve"> Moisture Content (%) 			</t>
  </si>
  <si>
    <t>sno</t>
  </si>
  <si>
    <t>date</t>
  </si>
  <si>
    <t>exp</t>
  </si>
  <si>
    <t>loc</t>
  </si>
  <si>
    <t>rep</t>
  </si>
  <si>
    <t>ring .size</t>
  </si>
  <si>
    <t>fresh.s</t>
  </si>
  <si>
    <t>dry.s</t>
  </si>
  <si>
    <t>dry.bd</t>
  </si>
  <si>
    <t>swc</t>
  </si>
  <si>
    <t>crop.h</t>
  </si>
  <si>
    <r>
      <t>Ring size [cm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</si>
  <si>
    <r>
      <t>SWC (Gravimetric) [g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]</t>
    </r>
  </si>
  <si>
    <t>tray.id</t>
  </si>
  <si>
    <t>tray.fresh</t>
  </si>
  <si>
    <t>18-09-2024</t>
  </si>
  <si>
    <t>Crop height [cm]</t>
  </si>
  <si>
    <t>Tray + Dry soil [g]</t>
  </si>
  <si>
    <t>tray.w</t>
  </si>
  <si>
    <t>tray.dry</t>
  </si>
  <si>
    <t>mc</t>
  </si>
  <si>
    <t>swc.g</t>
  </si>
  <si>
    <t>Soil Water content (SWC) [g]</t>
  </si>
  <si>
    <r>
      <t>Dry BD (gcm</t>
    </r>
    <r>
      <rPr>
        <vertAlign val="superscript"/>
        <sz val="11"/>
        <color theme="1"/>
        <rFont val="Times New Roman"/>
        <family val="1"/>
      </rPr>
      <t>-3</t>
    </r>
    <r>
      <rPr>
        <sz val="11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</si>
</sst>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/>
    <xf numFmtId="164" fontId="2" fillId="0" borderId="1" xfId="0" applyNumberFormat="1" applyFont="1" applyFill="1" applyBorder="1" applyAlignment="1"/>
    <xf numFmtId="2" fontId="2" fillId="0" borderId="1" xfId="0" applyNumberFormat="1" applyFont="1" applyFill="1" applyBorder="1" applyAlignment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0313-7780-FC46-A4E2-618A81F0DA47}">
  <dimension ref="A1:Q5"/>
  <sheetViews>
    <sheetView tabSelected="1" zoomScale="160" workbookViewId="0">
      <selection activeCell="O7" sqref="O7"/>
    </sheetView>
  </sheetViews>
  <sheetFormatPr baseColWidth="10" defaultRowHeight="16" x14ac:dyDescent="0.2"/>
  <cols>
    <col min="1" max="1" width="5" bestFit="1" customWidth="1"/>
    <col min="2" max="2" width="10.5" bestFit="1" customWidth="1"/>
    <col min="3" max="3" width="10.1640625" bestFit="1" customWidth="1"/>
    <col min="4" max="4" width="8" bestFit="1" customWidth="1"/>
    <col min="5" max="5" width="8.1640625" bestFit="1" customWidth="1"/>
    <col min="6" max="6" width="13" bestFit="1" customWidth="1"/>
    <col min="7" max="7" width="7" bestFit="1" customWidth="1"/>
    <col min="8" max="8" width="13.33203125" bestFit="1" customWidth="1"/>
    <col min="9" max="9" width="17.1640625" bestFit="1" customWidth="1"/>
    <col min="10" max="10" width="15.83203125" bestFit="1" customWidth="1"/>
    <col min="11" max="11" width="11.33203125" bestFit="1" customWidth="1"/>
    <col min="12" max="12" width="10.1640625" bestFit="1" customWidth="1"/>
    <col min="13" max="13" width="13.33203125" bestFit="1" customWidth="1"/>
    <col min="14" max="14" width="24.1640625" bestFit="1" customWidth="1"/>
    <col min="15" max="15" width="19.83203125" bestFit="1" customWidth="1"/>
    <col min="16" max="16" width="21.6640625" bestFit="1" customWidth="1"/>
    <col min="17" max="17" width="14.5" bestFit="1" customWidth="1"/>
    <col min="18" max="18" width="11.3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8</v>
      </c>
      <c r="J1" s="1" t="s">
        <v>29</v>
      </c>
      <c r="K1" s="1" t="s">
        <v>9</v>
      </c>
      <c r="L1" s="1" t="s">
        <v>10</v>
      </c>
      <c r="M1" s="1" t="s">
        <v>35</v>
      </c>
      <c r="N1" s="1" t="s">
        <v>34</v>
      </c>
      <c r="O1" s="1" t="s">
        <v>11</v>
      </c>
      <c r="P1" s="1" t="s">
        <v>24</v>
      </c>
      <c r="Q1" s="1" t="s">
        <v>28</v>
      </c>
    </row>
    <row r="2" spans="1:17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25</v>
      </c>
      <c r="H2" s="1" t="s">
        <v>30</v>
      </c>
      <c r="I2" s="1" t="s">
        <v>26</v>
      </c>
      <c r="J2" s="1" t="s">
        <v>31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32</v>
      </c>
      <c r="P2" s="1" t="s">
        <v>33</v>
      </c>
      <c r="Q2" s="1" t="s">
        <v>22</v>
      </c>
    </row>
    <row r="3" spans="1:17" x14ac:dyDescent="0.2">
      <c r="A3" s="1">
        <v>1</v>
      </c>
      <c r="B3" s="1" t="s">
        <v>27</v>
      </c>
      <c r="C3" s="1">
        <v>1</v>
      </c>
      <c r="D3" s="1" t="s">
        <v>7</v>
      </c>
      <c r="E3" s="1">
        <v>1</v>
      </c>
      <c r="F3" s="2">
        <v>100</v>
      </c>
      <c r="G3" s="2">
        <v>1</v>
      </c>
      <c r="H3" s="2">
        <v>6.5</v>
      </c>
      <c r="I3" s="2">
        <v>153</v>
      </c>
      <c r="J3" s="2">
        <v>126</v>
      </c>
      <c r="K3" s="2">
        <v>146.5</v>
      </c>
      <c r="L3" s="4">
        <f>J3-H3</f>
        <v>119.5</v>
      </c>
      <c r="M3" s="2">
        <f>L3/F3</f>
        <v>1.1950000000000001</v>
      </c>
      <c r="N3" s="2">
        <f>K3-L3</f>
        <v>27</v>
      </c>
      <c r="O3" s="2">
        <f>(N3/L3)*100</f>
        <v>22.594142259414227</v>
      </c>
      <c r="P3" s="3">
        <f>(I3-J3)/J3</f>
        <v>0.21428571428571427</v>
      </c>
      <c r="Q3" s="2">
        <v>15</v>
      </c>
    </row>
    <row r="4" spans="1:17" x14ac:dyDescent="0.2">
      <c r="A4" s="1">
        <v>2</v>
      </c>
      <c r="B4" s="1" t="s">
        <v>27</v>
      </c>
      <c r="C4" s="1">
        <v>1</v>
      </c>
      <c r="D4" s="1" t="s">
        <v>7</v>
      </c>
      <c r="E4" s="1">
        <v>2</v>
      </c>
      <c r="F4" s="2">
        <v>100</v>
      </c>
      <c r="G4" s="2">
        <v>2</v>
      </c>
      <c r="H4" s="2">
        <v>6.5</v>
      </c>
      <c r="I4" s="2">
        <v>138</v>
      </c>
      <c r="J4" s="2">
        <v>115.5</v>
      </c>
      <c r="K4" s="2">
        <v>131.5</v>
      </c>
      <c r="L4" s="4">
        <f t="shared" ref="L4:L5" si="0">J4-H4</f>
        <v>109</v>
      </c>
      <c r="M4" s="2">
        <f t="shared" ref="M4:M5" si="1">L4/F4</f>
        <v>1.0900000000000001</v>
      </c>
      <c r="N4" s="2">
        <f t="shared" ref="N4:N5" si="2">K4-L4</f>
        <v>22.5</v>
      </c>
      <c r="O4" s="2">
        <f t="shared" ref="O4:O5" si="3">(N4/L4)*100</f>
        <v>20.642201834862387</v>
      </c>
      <c r="P4" s="3">
        <f>(I4-J4)/J4</f>
        <v>0.19480519480519481</v>
      </c>
      <c r="Q4" s="2">
        <v>15</v>
      </c>
    </row>
    <row r="5" spans="1:17" x14ac:dyDescent="0.2">
      <c r="A5" s="1">
        <v>3</v>
      </c>
      <c r="B5" s="1" t="s">
        <v>27</v>
      </c>
      <c r="C5" s="1">
        <v>1</v>
      </c>
      <c r="D5" s="1" t="s">
        <v>7</v>
      </c>
      <c r="E5" s="1">
        <v>3</v>
      </c>
      <c r="F5" s="2">
        <v>100</v>
      </c>
      <c r="G5" s="2">
        <v>9</v>
      </c>
      <c r="H5" s="2">
        <v>9</v>
      </c>
      <c r="I5" s="2">
        <v>159.5</v>
      </c>
      <c r="J5" s="2">
        <v>125</v>
      </c>
      <c r="K5" s="2">
        <v>150.5</v>
      </c>
      <c r="L5" s="4">
        <f t="shared" si="0"/>
        <v>116</v>
      </c>
      <c r="M5" s="2">
        <f t="shared" si="1"/>
        <v>1.1599999999999999</v>
      </c>
      <c r="N5" s="2">
        <f t="shared" si="2"/>
        <v>34.5</v>
      </c>
      <c r="O5" s="2">
        <f t="shared" si="3"/>
        <v>29.741379310344829</v>
      </c>
      <c r="P5" s="3">
        <f>(I5-J5)/J5</f>
        <v>0.27600000000000002</v>
      </c>
      <c r="Q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2025-01-21T09:05:13Z</dcterms:created>
  <dcterms:modified xsi:type="dcterms:W3CDTF">2025-01-21T10:35:48Z</dcterms:modified>
</cp:coreProperties>
</file>